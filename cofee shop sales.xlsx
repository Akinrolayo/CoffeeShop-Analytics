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NY\Documents\"/>
    </mc:Choice>
  </mc:AlternateContent>
  <bookViews>
    <workbookView xWindow="0" yWindow="0" windowWidth="3795" windowHeight="2460" activeTab="3"/>
  </bookViews>
  <sheets>
    <sheet name="Sheet3" sheetId="3" r:id="rId1"/>
    <sheet name="p vs ts" sheetId="4" r:id="rId2"/>
    <sheet name="data" sheetId="1" r:id="rId3"/>
    <sheet name="Dashboard" sheetId="8" r:id="rId4"/>
  </sheets>
  <calcPr calcId="152511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1" l="1"/>
  <c r="M32" i="1"/>
  <c r="M31" i="1"/>
  <c r="J30" i="1"/>
  <c r="J31" i="1"/>
  <c r="C31" i="1"/>
  <c r="H32" i="1"/>
  <c r="H31" i="1"/>
  <c r="H30" i="1"/>
  <c r="H29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</calcChain>
</file>

<file path=xl/sharedStrings.xml><?xml version="1.0" encoding="utf-8"?>
<sst xmlns="http://schemas.openxmlformats.org/spreadsheetml/2006/main" count="122" uniqueCount="45">
  <si>
    <t>Coffee Shop Monthly Sales Data</t>
  </si>
  <si>
    <t>Order ID</t>
  </si>
  <si>
    <t>Date</t>
  </si>
  <si>
    <t>Product</t>
  </si>
  <si>
    <t>Category</t>
  </si>
  <si>
    <t>Quantity</t>
  </si>
  <si>
    <t>Payment Method</t>
  </si>
  <si>
    <t>Customer Rating</t>
  </si>
  <si>
    <t>Latte</t>
  </si>
  <si>
    <t>Hot Drinks</t>
  </si>
  <si>
    <t>Cash</t>
  </si>
  <si>
    <t>Cappuccino</t>
  </si>
  <si>
    <t>Card</t>
  </si>
  <si>
    <t>Croissant</t>
  </si>
  <si>
    <t>Pastry</t>
  </si>
  <si>
    <t>Iced Tea</t>
  </si>
  <si>
    <t>Cold Drinks</t>
  </si>
  <si>
    <t>Muffin</t>
  </si>
  <si>
    <t>card</t>
  </si>
  <si>
    <t>Espresso</t>
  </si>
  <si>
    <t>Cookie</t>
  </si>
  <si>
    <t>Iced Coffee</t>
  </si>
  <si>
    <t>0</t>
  </si>
  <si>
    <t>Row Labels</t>
  </si>
  <si>
    <t>Grand Total</t>
  </si>
  <si>
    <t>Count of Total Sales</t>
  </si>
  <si>
    <t>Sum of Quantity</t>
  </si>
  <si>
    <t>2025-01-05</t>
  </si>
  <si>
    <t>Price unit2</t>
  </si>
  <si>
    <t>Total sales</t>
  </si>
  <si>
    <t>Outliers</t>
  </si>
  <si>
    <t>average</t>
  </si>
  <si>
    <t>max</t>
  </si>
  <si>
    <t>min</t>
  </si>
  <si>
    <t>the total numbers of order</t>
  </si>
  <si>
    <t xml:space="preserve">Total price </t>
  </si>
  <si>
    <t>price unit *quantity</t>
  </si>
  <si>
    <t>Orders paid by card</t>
  </si>
  <si>
    <t>Orders paid by cash</t>
  </si>
  <si>
    <t>Total sum of each cartegory</t>
  </si>
  <si>
    <t>Hot drinks</t>
  </si>
  <si>
    <t>Cold drinks</t>
  </si>
  <si>
    <t>Product Vs Total sales</t>
  </si>
  <si>
    <t>Cash Vs Card</t>
  </si>
  <si>
    <t>Coffe Data Shop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</si>
</sst>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$-2809]#,##0.00"/>
    <numFmt numFmtId="165" formatCode="[$$-1009]#,##0.00"/>
  </numFmts>
  <fonts count="8" x14ac:knownFonts="1">
    <font>
      <sz val="11"/>
      <color theme="1"/>
      <name val="Calibri"/>
      <family val="2"/>
      <charset val="1"/>
      <scheme val="minor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22"/>
      <color theme="1"/>
      <name val="Calibri Light"/>
      <family val="2"/>
      <scheme val="maj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left" readingOrder="1"/>
    </xf>
    <xf numFmtId="0" fontId="3" fillId="3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right" readingOrder="1"/>
    </xf>
    <xf numFmtId="14" fontId="4" fillId="4" borderId="2" xfId="0" applyNumberFormat="1" applyFont="1" applyFill="1" applyBorder="1" applyAlignment="1">
      <alignment horizontal="left" readingOrder="1"/>
    </xf>
    <xf numFmtId="0" fontId="4" fillId="4" borderId="2" xfId="0" applyFont="1" applyFill="1" applyBorder="1" applyAlignment="1">
      <alignment horizontal="left" readingOrder="1"/>
    </xf>
    <xf numFmtId="0" fontId="4" fillId="2" borderId="2" xfId="0" applyFont="1" applyFill="1" applyBorder="1" applyAlignment="1">
      <alignment horizontal="right" readingOrder="1"/>
    </xf>
    <xf numFmtId="14" fontId="4" fillId="2" borderId="2" xfId="0" applyNumberFormat="1" applyFont="1" applyFill="1" applyBorder="1" applyAlignment="1">
      <alignment horizontal="left" readingOrder="1"/>
    </xf>
    <xf numFmtId="0" fontId="4" fillId="2" borderId="2" xfId="0" applyFont="1" applyFill="1" applyBorder="1" applyAlignment="1">
      <alignment horizontal="left" readingOrder="1"/>
    </xf>
    <xf numFmtId="0" fontId="3" fillId="3" borderId="4" xfId="0" applyFont="1" applyFill="1" applyBorder="1" applyAlignment="1">
      <alignment horizontal="left" readingOrder="1"/>
    </xf>
    <xf numFmtId="0" fontId="4" fillId="4" borderId="1" xfId="0" applyFont="1" applyFill="1" applyBorder="1" applyAlignment="1">
      <alignment horizontal="right" readingOrder="1"/>
    </xf>
    <xf numFmtId="0" fontId="4" fillId="2" borderId="1" xfId="0" applyFont="1" applyFill="1" applyBorder="1" applyAlignment="1">
      <alignment horizontal="right" readingOrder="1"/>
    </xf>
    <xf numFmtId="0" fontId="2" fillId="2" borderId="5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3" borderId="6" xfId="0" applyFont="1" applyFill="1" applyBorder="1" applyAlignment="1">
      <alignment horizontal="left" readingOrder="1"/>
    </xf>
    <xf numFmtId="164" fontId="0" fillId="0" borderId="0" xfId="0" applyNumberFormat="1"/>
    <xf numFmtId="164" fontId="2" fillId="2" borderId="5" xfId="0" applyNumberFormat="1" applyFont="1" applyFill="1" applyBorder="1" applyAlignment="1">
      <alignment wrapText="1"/>
    </xf>
    <xf numFmtId="164" fontId="4" fillId="4" borderId="2" xfId="0" applyNumberFormat="1" applyFont="1" applyFill="1" applyBorder="1" applyAlignment="1">
      <alignment horizontal="right" readingOrder="1"/>
    </xf>
    <xf numFmtId="164" fontId="4" fillId="2" borderId="2" xfId="0" applyNumberFormat="1" applyFont="1" applyFill="1" applyBorder="1" applyAlignment="1">
      <alignment horizontal="right" readingOrder="1"/>
    </xf>
    <xf numFmtId="165" fontId="1" fillId="2" borderId="1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wrapText="1"/>
    </xf>
    <xf numFmtId="165" fontId="3" fillId="3" borderId="3" xfId="0" applyNumberFormat="1" applyFont="1" applyFill="1" applyBorder="1" applyAlignment="1">
      <alignment horizontal="left" readingOrder="1"/>
    </xf>
    <xf numFmtId="165" fontId="4" fillId="4" borderId="2" xfId="0" applyNumberFormat="1" applyFont="1" applyFill="1" applyBorder="1" applyAlignment="1">
      <alignment horizontal="right" readingOrder="1"/>
    </xf>
    <xf numFmtId="165" fontId="0" fillId="0" borderId="0" xfId="0" applyNumberFormat="1"/>
    <xf numFmtId="0" fontId="4" fillId="4" borderId="5" xfId="0" applyFont="1" applyFill="1" applyBorder="1" applyAlignment="1">
      <alignment horizontal="right" readingOrder="1"/>
    </xf>
    <xf numFmtId="14" fontId="4" fillId="4" borderId="5" xfId="0" applyNumberFormat="1" applyFont="1" applyFill="1" applyBorder="1" applyAlignment="1">
      <alignment horizontal="left" readingOrder="1"/>
    </xf>
    <xf numFmtId="0" fontId="4" fillId="4" borderId="5" xfId="0" applyFont="1" applyFill="1" applyBorder="1" applyAlignment="1">
      <alignment horizontal="left" readingOrder="1"/>
    </xf>
    <xf numFmtId="0" fontId="4" fillId="4" borderId="0" xfId="0" applyFont="1" applyFill="1" applyBorder="1" applyAlignment="1">
      <alignment horizontal="right" readingOrder="1"/>
    </xf>
    <xf numFmtId="164" fontId="4" fillId="4" borderId="0" xfId="0" applyNumberFormat="1" applyFont="1" applyFill="1" applyBorder="1" applyAlignment="1">
      <alignment horizontal="right" readingOrder="1"/>
    </xf>
    <xf numFmtId="165" fontId="4" fillId="4" borderId="5" xfId="0" applyNumberFormat="1" applyFont="1" applyFill="1" applyBorder="1" applyAlignment="1">
      <alignment horizontal="right" readingOrder="1"/>
    </xf>
    <xf numFmtId="0" fontId="4" fillId="4" borderId="6" xfId="0" applyFont="1" applyFill="1" applyBorder="1" applyAlignment="1">
      <alignment horizontal="left" readingOrder="1"/>
    </xf>
    <xf numFmtId="0" fontId="4" fillId="4" borderId="0" xfId="0" applyNumberFormat="1" applyFont="1" applyFill="1" applyBorder="1" applyAlignment="1">
      <alignment horizontal="right" readingOrder="1"/>
    </xf>
    <xf numFmtId="164" fontId="5" fillId="0" borderId="0" xfId="0" applyNumberFormat="1" applyFont="1"/>
    <xf numFmtId="0" fontId="5" fillId="0" borderId="0" xfId="0" applyFont="1"/>
    <xf numFmtId="0" fontId="0" fillId="0" borderId="0" xfId="0" applyAlignme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0" formatCode="General"/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0" formatCode="General"/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left" vertical="bottom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left" vertical="bottom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[$$-1009]#,##0.00"/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[$$-1009]#,##0.00"/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64" formatCode="[$$-2809]#,##0.00"/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64" formatCode="[$$-2809]#,##0.00"/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left" vertical="bottom" textRotation="0" wrapText="0" indent="0" justifyLastLine="0" shrinkToFit="0" readingOrder="1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left" vertical="bottom" textRotation="0" wrapText="0" indent="0" justifyLastLine="0" shrinkToFit="0" readingOrder="1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9" formatCode="dd/mm/yyyy"/>
      <fill>
        <patternFill patternType="solid">
          <fgColor indexed="64"/>
          <bgColor rgb="FFD9E2F3"/>
        </patternFill>
      </fill>
      <alignment horizontal="left" vertical="bottom" textRotation="0" wrapText="0" indent="0" justifyLastLine="0" shrinkToFit="0" readingOrder="1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9" formatCode="dd/mm/yyyy"/>
      <fill>
        <patternFill patternType="solid">
          <fgColor indexed="64"/>
          <bgColor rgb="FFD9E2F3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rgb="FFD9E2F3"/>
        </patternFill>
      </fill>
      <alignment horizontal="right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scheme val="none"/>
      </font>
      <fill>
        <patternFill patternType="solid">
          <fgColor indexed="64"/>
          <bgColor rgb="FF4472C4"/>
        </patternFill>
      </fill>
      <alignment horizontal="left" vertical="bottom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[cofee shop sales.xlsx]Sheet3!PivotTable3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Cappuccino</c:v>
                </c:pt>
                <c:pt idx="1">
                  <c:v>Cookie</c:v>
                </c:pt>
                <c:pt idx="2">
                  <c:v>Croissant</c:v>
                </c:pt>
                <c:pt idx="3">
                  <c:v>Espresso</c:v>
                </c:pt>
                <c:pt idx="4">
                  <c:v>Iced Coffee</c:v>
                </c:pt>
                <c:pt idx="5">
                  <c:v>Iced Tea</c:v>
                </c:pt>
                <c:pt idx="6">
                  <c:v>Latte</c:v>
                </c:pt>
                <c:pt idx="7">
                  <c:v>Muffin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9</c:v>
                </c:pt>
                <c:pt idx="7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5176"/>
        <c:axId val="10558704"/>
      </c:barChart>
      <c:catAx>
        <c:axId val="1055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704"/>
        <c:crosses val="autoZero"/>
        <c:auto val="1"/>
        <c:lblAlgn val="ctr"/>
        <c:lblOffset val="100"/>
        <c:noMultiLvlLbl val="0"/>
      </c:catAx>
      <c:valAx>
        <c:axId val="1055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Vs Card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data!$I$30:$I$31</c:f>
              <c:strCache>
                <c:ptCount val="2"/>
                <c:pt idx="0">
                  <c:v>Orders paid by cash</c:v>
                </c:pt>
                <c:pt idx="1">
                  <c:v>Orders paid by card</c:v>
                </c:pt>
              </c:strCache>
            </c:strRef>
          </c:cat>
          <c:val>
            <c:numRef>
              <c:f>data!$J$30:$J$31</c:f>
              <c:numCache>
                <c:formatCode>General</c:formatCode>
                <c:ptCount val="2"/>
                <c:pt idx="0">
                  <c:v>13</c:v>
                </c:pt>
                <c:pt idx="1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[cofee shop sales.xlsx]p vs ts!PivotTable4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 vs 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 vs ts'!$A$4:$A$13</c:f>
              <c:strCache>
                <c:ptCount val="9"/>
                <c:pt idx="0">
                  <c:v>0</c:v>
                </c:pt>
                <c:pt idx="1">
                  <c:v>Cappuccino</c:v>
                </c:pt>
                <c:pt idx="2">
                  <c:v>Cookie</c:v>
                </c:pt>
                <c:pt idx="3">
                  <c:v>Croissant</c:v>
                </c:pt>
                <c:pt idx="4">
                  <c:v>Espresso</c:v>
                </c:pt>
                <c:pt idx="5">
                  <c:v>Iced Coffee</c:v>
                </c:pt>
                <c:pt idx="6">
                  <c:v>Iced Tea</c:v>
                </c:pt>
                <c:pt idx="7">
                  <c:v>Latte</c:v>
                </c:pt>
                <c:pt idx="8">
                  <c:v>Muffin</c:v>
                </c:pt>
              </c:strCache>
            </c:strRef>
          </c:cat>
          <c:val>
            <c:numRef>
              <c:f>'p vs ts'!$B$4:$B$13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57136"/>
        <c:axId val="10554392"/>
      </c:barChart>
      <c:catAx>
        <c:axId val="1055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392"/>
        <c:crosses val="autoZero"/>
        <c:auto val="1"/>
        <c:lblAlgn val="ctr"/>
        <c:lblOffset val="100"/>
        <c:noMultiLvlLbl val="0"/>
      </c:catAx>
      <c:valAx>
        <c:axId val="1055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</xdr:row>
      <xdr:rowOff>9525</xdr:rowOff>
    </xdr:from>
    <xdr:to>
      <xdr:col>13</xdr:col>
      <xdr:colOff>123825</xdr:colOff>
      <xdr:row>13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333375</xdr:rowOff>
    </xdr:from>
    <xdr:to>
      <xdr:col>8</xdr:col>
      <xdr:colOff>133350</xdr:colOff>
      <xdr:row>0</xdr:row>
      <xdr:rowOff>342900</xdr:rowOff>
    </xdr:to>
    <xdr:cxnSp macro="">
      <xdr:nvCxnSpPr>
        <xdr:cNvPr id="3" name="Straight Connector 2"/>
        <xdr:cNvCxnSpPr/>
      </xdr:nvCxnSpPr>
      <xdr:spPr>
        <a:xfrm flipV="1">
          <a:off x="2400300" y="333375"/>
          <a:ext cx="2609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209550</xdr:colOff>
      <xdr:row>1</xdr:row>
      <xdr:rowOff>0</xdr:rowOff>
    </xdr:from>
    <xdr:to>
      <xdr:col>2</xdr:col>
      <xdr:colOff>314325</xdr:colOff>
      <xdr:row>5</xdr:row>
      <xdr:rowOff>180975</xdr:rowOff>
    </xdr:to>
    <xdr:sp macro="" textlink="">
      <xdr:nvSpPr>
        <xdr:cNvPr id="5" name="Rectangle 4"/>
        <xdr:cNvSpPr/>
      </xdr:nvSpPr>
      <xdr:spPr>
        <a:xfrm>
          <a:off x="209550" y="390525"/>
          <a:ext cx="1323975" cy="94297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981075</xdr:colOff>
      <xdr:row>1</xdr:row>
      <xdr:rowOff>9525</xdr:rowOff>
    </xdr:from>
    <xdr:to>
      <xdr:col>4</xdr:col>
      <xdr:colOff>38100</xdr:colOff>
      <xdr:row>6</xdr:row>
      <xdr:rowOff>0</xdr:rowOff>
    </xdr:to>
    <xdr:sp macro="" textlink="">
      <xdr:nvSpPr>
        <xdr:cNvPr id="6" name="Rectangle 5"/>
        <xdr:cNvSpPr/>
      </xdr:nvSpPr>
      <xdr:spPr>
        <a:xfrm>
          <a:off x="2200275" y="400050"/>
          <a:ext cx="1514475" cy="94297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257175</xdr:colOff>
      <xdr:row>1</xdr:row>
      <xdr:rowOff>0</xdr:rowOff>
    </xdr:from>
    <xdr:to>
      <xdr:col>7</xdr:col>
      <xdr:colOff>361950</xdr:colOff>
      <xdr:row>5</xdr:row>
      <xdr:rowOff>180975</xdr:rowOff>
    </xdr:to>
    <xdr:sp macro="" textlink="">
      <xdr:nvSpPr>
        <xdr:cNvPr id="7" name="Rectangle 6"/>
        <xdr:cNvSpPr/>
      </xdr:nvSpPr>
      <xdr:spPr>
        <a:xfrm>
          <a:off x="4229100" y="390525"/>
          <a:ext cx="1323975" cy="94297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38100</xdr:colOff>
      <xdr:row>1</xdr:row>
      <xdr:rowOff>0</xdr:rowOff>
    </xdr:from>
    <xdr:to>
      <xdr:col>11</xdr:col>
      <xdr:colOff>142875</xdr:colOff>
      <xdr:row>5</xdr:row>
      <xdr:rowOff>180975</xdr:rowOff>
    </xdr:to>
    <xdr:sp macro="" textlink="">
      <xdr:nvSpPr>
        <xdr:cNvPr id="8" name="Rectangle 7"/>
        <xdr:cNvSpPr/>
      </xdr:nvSpPr>
      <xdr:spPr>
        <a:xfrm>
          <a:off x="5524500" y="390525"/>
          <a:ext cx="1323975" cy="94297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514350</xdr:colOff>
      <xdr:row>12</xdr:row>
      <xdr:rowOff>19050</xdr:rowOff>
    </xdr:from>
    <xdr:to>
      <xdr:col>9</xdr:col>
      <xdr:colOff>390525</xdr:colOff>
      <xdr:row>21</xdr:row>
      <xdr:rowOff>114300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0</xdr:rowOff>
    </xdr:from>
    <xdr:to>
      <xdr:col>3</xdr:col>
      <xdr:colOff>104775</xdr:colOff>
      <xdr:row>22</xdr:row>
      <xdr:rowOff>114300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266700</xdr:colOff>
      <xdr:row>2</xdr:row>
      <xdr:rowOff>152400</xdr:rowOff>
    </xdr:from>
    <xdr:to>
      <xdr:col>2</xdr:col>
      <xdr:colOff>285750</xdr:colOff>
      <xdr:row>5</xdr:row>
      <xdr:rowOff>47625</xdr:rowOff>
    </xdr:to>
    <xdr:sp macro="" textlink="">
      <xdr:nvSpPr>
        <xdr:cNvPr id="2" name="TextBox 1"/>
        <xdr:cNvSpPr txBox="1"/>
      </xdr:nvSpPr>
      <xdr:spPr>
        <a:xfrm>
          <a:off x="266700" y="733425"/>
          <a:ext cx="12382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$166.75</a:t>
          </a:r>
          <a:r>
            <a:rPr lang="en-US" sz="2400">
              <a:latin typeface="+mj-lt"/>
            </a:rPr>
            <a:t> </a:t>
          </a:r>
        </a:p>
      </xdr:txBody>
    </xdr:sp>
    <xdr:clientData/>
  </xdr:twoCellAnchor>
  <xdr:twoCellAnchor>
    <xdr:from>
      <xdr:col>0</xdr:col>
      <xdr:colOff>200025</xdr:colOff>
      <xdr:row>1</xdr:row>
      <xdr:rowOff>9525</xdr:rowOff>
    </xdr:from>
    <xdr:to>
      <xdr:col>2</xdr:col>
      <xdr:colOff>314325</xdr:colOff>
      <xdr:row>2</xdr:row>
      <xdr:rowOff>66675</xdr:rowOff>
    </xdr:to>
    <xdr:sp macro="" textlink="">
      <xdr:nvSpPr>
        <xdr:cNvPr id="4" name="TextBox 3"/>
        <xdr:cNvSpPr txBox="1"/>
      </xdr:nvSpPr>
      <xdr:spPr>
        <a:xfrm>
          <a:off x="200025" y="400050"/>
          <a:ext cx="13335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+mj-lt"/>
            </a:rPr>
            <a:t>Total sales</a:t>
          </a:r>
        </a:p>
      </xdr:txBody>
    </xdr:sp>
    <xdr:clientData/>
  </xdr:twoCellAnchor>
  <xdr:twoCellAnchor>
    <xdr:from>
      <xdr:col>2</xdr:col>
      <xdr:colOff>1171575</xdr:colOff>
      <xdr:row>2</xdr:row>
      <xdr:rowOff>161925</xdr:rowOff>
    </xdr:from>
    <xdr:to>
      <xdr:col>3</xdr:col>
      <xdr:colOff>561975</xdr:colOff>
      <xdr:row>5</xdr:row>
      <xdr:rowOff>57150</xdr:rowOff>
    </xdr:to>
    <xdr:sp macro="" textlink="">
      <xdr:nvSpPr>
        <xdr:cNvPr id="11" name="TextBox 10"/>
        <xdr:cNvSpPr txBox="1"/>
      </xdr:nvSpPr>
      <xdr:spPr>
        <a:xfrm>
          <a:off x="2390775" y="742950"/>
          <a:ext cx="12382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$6.95</a:t>
          </a:r>
          <a:endParaRPr lang="en-US" sz="2400">
            <a:latin typeface="+mj-lt"/>
          </a:endParaRPr>
        </a:p>
      </xdr:txBody>
    </xdr:sp>
    <xdr:clientData/>
  </xdr:twoCellAnchor>
  <xdr:twoCellAnchor>
    <xdr:from>
      <xdr:col>2</xdr:col>
      <xdr:colOff>1104900</xdr:colOff>
      <xdr:row>1</xdr:row>
      <xdr:rowOff>19050</xdr:rowOff>
    </xdr:from>
    <xdr:to>
      <xdr:col>3</xdr:col>
      <xdr:colOff>590550</xdr:colOff>
      <xdr:row>2</xdr:row>
      <xdr:rowOff>76200</xdr:rowOff>
    </xdr:to>
    <xdr:sp macro="" textlink="">
      <xdr:nvSpPr>
        <xdr:cNvPr id="12" name="TextBox 11"/>
        <xdr:cNvSpPr txBox="1"/>
      </xdr:nvSpPr>
      <xdr:spPr>
        <a:xfrm>
          <a:off x="2324100" y="409575"/>
          <a:ext cx="13335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+mj-lt"/>
            </a:rPr>
            <a:t>Average</a:t>
          </a:r>
        </a:p>
      </xdr:txBody>
    </xdr:sp>
    <xdr:clientData/>
  </xdr:twoCellAnchor>
  <xdr:twoCellAnchor>
    <xdr:from>
      <xdr:col>5</xdr:col>
      <xdr:colOff>314325</xdr:colOff>
      <xdr:row>2</xdr:row>
      <xdr:rowOff>152400</xdr:rowOff>
    </xdr:from>
    <xdr:to>
      <xdr:col>7</xdr:col>
      <xdr:colOff>333375</xdr:colOff>
      <xdr:row>5</xdr:row>
      <xdr:rowOff>47625</xdr:rowOff>
    </xdr:to>
    <xdr:sp macro="" textlink="">
      <xdr:nvSpPr>
        <xdr:cNvPr id="13" name="TextBox 12"/>
        <xdr:cNvSpPr txBox="1"/>
      </xdr:nvSpPr>
      <xdr:spPr>
        <a:xfrm>
          <a:off x="4600575" y="733425"/>
          <a:ext cx="12382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$20.00</a:t>
          </a:r>
          <a:endParaRPr lang="en-US" sz="2400">
            <a:latin typeface="+mj-lt"/>
          </a:endParaRPr>
        </a:p>
      </xdr:txBody>
    </xdr:sp>
    <xdr:clientData/>
  </xdr:twoCellAnchor>
  <xdr:twoCellAnchor>
    <xdr:from>
      <xdr:col>5</xdr:col>
      <xdr:colOff>247650</xdr:colOff>
      <xdr:row>1</xdr:row>
      <xdr:rowOff>9525</xdr:rowOff>
    </xdr:from>
    <xdr:to>
      <xdr:col>7</xdr:col>
      <xdr:colOff>361950</xdr:colOff>
      <xdr:row>2</xdr:row>
      <xdr:rowOff>66675</xdr:rowOff>
    </xdr:to>
    <xdr:sp macro="" textlink="">
      <xdr:nvSpPr>
        <xdr:cNvPr id="14" name="TextBox 13"/>
        <xdr:cNvSpPr txBox="1"/>
      </xdr:nvSpPr>
      <xdr:spPr>
        <a:xfrm>
          <a:off x="4533900" y="400050"/>
          <a:ext cx="13335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+mj-lt"/>
            </a:rPr>
            <a:t>Maximum</a:t>
          </a:r>
        </a:p>
      </xdr:txBody>
    </xdr:sp>
    <xdr:clientData/>
  </xdr:twoCellAnchor>
  <xdr:twoCellAnchor>
    <xdr:from>
      <xdr:col>9</xdr:col>
      <xdr:colOff>95250</xdr:colOff>
      <xdr:row>2</xdr:row>
      <xdr:rowOff>152400</xdr:rowOff>
    </xdr:from>
    <xdr:to>
      <xdr:col>11</xdr:col>
      <xdr:colOff>114300</xdr:colOff>
      <xdr:row>5</xdr:row>
      <xdr:rowOff>47625</xdr:rowOff>
    </xdr:to>
    <xdr:sp macro="" textlink="">
      <xdr:nvSpPr>
        <xdr:cNvPr id="15" name="TextBox 14"/>
        <xdr:cNvSpPr txBox="1"/>
      </xdr:nvSpPr>
      <xdr:spPr>
        <a:xfrm>
          <a:off x="6819900" y="733425"/>
          <a:ext cx="12382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$0.00</a:t>
          </a:r>
          <a:endParaRPr lang="en-US" sz="2400">
            <a:latin typeface="+mj-lt"/>
          </a:endParaRPr>
        </a:p>
      </xdr:txBody>
    </xdr:sp>
    <xdr:clientData/>
  </xdr:twoCellAnchor>
  <xdr:twoCellAnchor>
    <xdr:from>
      <xdr:col>9</xdr:col>
      <xdr:colOff>28575</xdr:colOff>
      <xdr:row>1</xdr:row>
      <xdr:rowOff>9525</xdr:rowOff>
    </xdr:from>
    <xdr:to>
      <xdr:col>11</xdr:col>
      <xdr:colOff>142875</xdr:colOff>
      <xdr:row>2</xdr:row>
      <xdr:rowOff>66675</xdr:rowOff>
    </xdr:to>
    <xdr:sp macro="" textlink="">
      <xdr:nvSpPr>
        <xdr:cNvPr id="16" name="TextBox 15"/>
        <xdr:cNvSpPr txBox="1"/>
      </xdr:nvSpPr>
      <xdr:spPr>
        <a:xfrm>
          <a:off x="6753225" y="400050"/>
          <a:ext cx="13335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+mj-lt"/>
            </a:rPr>
            <a:t>minimum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NNY" refreshedDate="46094.234190393516" createdVersion="5" refreshedVersion="5" minRefreshableVersion="3" recordCount="24">
  <cacheSource type="worksheet">
    <worksheetSource name="Table1"/>
  </cacheSource>
  <cacheFields count="9">
    <cacheField name="Order ID" numFmtId="0">
      <sharedItems containsSemiMixedTypes="0" containsString="0" containsNumber="1" containsInteger="1" minValue="1001" maxValue="1024" count="24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</sharedItems>
    </cacheField>
    <cacheField name="Date" numFmtId="14">
      <sharedItems containsSemiMixedTypes="0" containsNonDate="0" containsDate="1" containsString="0" minDate="2025-01-05T00:00:00" maxDate="2025-02-06T00:00:00" count="21">
        <d v="2025-01-05T00:00:00"/>
        <d v="2025-01-07T00:00:00"/>
        <d v="2025-01-08T00:00:00"/>
        <d v="2025-01-10T00:00:00"/>
        <d v="2025-01-12T00:00:00"/>
        <d v="2025-01-14T00:00:00"/>
        <d v="2025-01-15T00:00:00"/>
        <d v="2025-01-17T00:00:00"/>
        <d v="2025-01-18T00:00:00"/>
        <d v="2025-01-20T00:00:00"/>
        <d v="2025-01-22T00:00:00"/>
        <d v="2025-01-25T00:00:00"/>
        <d v="2025-01-26T00:00:00"/>
        <d v="2025-01-27T00:00:00"/>
        <d v="2025-01-28T00:00:00"/>
        <d v="2025-01-29T00:00:00"/>
        <d v="2025-01-30T00:00:00"/>
        <d v="2025-02-01T00:00:00"/>
        <d v="2025-02-02T00:00:00"/>
        <d v="2025-02-03T00:00:00"/>
        <d v="2025-02-05T00:00:00"/>
      </sharedItems>
    </cacheField>
    <cacheField name="Product" numFmtId="0">
      <sharedItems count="9">
        <s v="Latte"/>
        <s v="Cappuccino"/>
        <s v="Croissant"/>
        <s v="Iced Tea"/>
        <s v="Muffin"/>
        <s v="Espresso"/>
        <s v="0"/>
        <s v="Cookie"/>
        <s v="Iced Coffee"/>
      </sharedItems>
    </cacheField>
    <cacheField name="Category" numFmtId="0">
      <sharedItems count="3">
        <s v="Hot Drinks"/>
        <s v="Pastry"/>
        <s v="Cold Drinks"/>
      </sharedItems>
    </cacheField>
    <cacheField name="Quantity" numFmtId="0">
      <sharedItems containsSemiMixedTypes="0" containsString="0" containsNumber="1" containsInteger="1" minValue="0" maxValue="5" count="6">
        <n v="2"/>
        <n v="1"/>
        <n v="3"/>
        <n v="4"/>
        <n v="5"/>
        <n v="0"/>
      </sharedItems>
    </cacheField>
    <cacheField name="Unit Price" numFmtId="2">
      <sharedItems/>
    </cacheField>
    <cacheField name="Total Sales" numFmtId="2">
      <sharedItems count="15">
        <s v="$9.00"/>
        <s v="$4.00"/>
        <s v="$9.75"/>
        <s v="$4.50"/>
        <s v="$7.00"/>
        <s v="$11.00"/>
        <s v="$3.00"/>
        <s v="$3.50"/>
        <s v="$6.50"/>
        <s v="$12.00"/>
        <s v="$7.50"/>
        <s v="$6.00"/>
        <s v="$8.25"/>
        <s v="$0.00"/>
        <s v="$11.25"/>
      </sharedItems>
    </cacheField>
    <cacheField name="Payment Method" numFmtId="0">
      <sharedItems/>
    </cacheField>
    <cacheField name="Customer Rating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x v="0"/>
    <s v="$4.50"/>
    <x v="0"/>
    <s v="Cash"/>
    <n v="4"/>
  </r>
  <r>
    <x v="1"/>
    <x v="0"/>
    <x v="1"/>
    <x v="0"/>
    <x v="1"/>
    <s v="$4.00"/>
    <x v="1"/>
    <s v="Card"/>
    <n v="5"/>
  </r>
  <r>
    <x v="2"/>
    <x v="1"/>
    <x v="2"/>
    <x v="1"/>
    <x v="2"/>
    <s v="$3.25"/>
    <x v="2"/>
    <s v="Cash"/>
    <n v="3"/>
  </r>
  <r>
    <x v="3"/>
    <x v="2"/>
    <x v="0"/>
    <x v="0"/>
    <x v="1"/>
    <s v="$4.50"/>
    <x v="3"/>
    <s v="Card"/>
    <n v="4"/>
  </r>
  <r>
    <x v="4"/>
    <x v="3"/>
    <x v="3"/>
    <x v="2"/>
    <x v="0"/>
    <s v="$3.50"/>
    <x v="4"/>
    <s v="Cash"/>
    <n v="0"/>
  </r>
  <r>
    <x v="5"/>
    <x v="3"/>
    <x v="4"/>
    <x v="1"/>
    <x v="3"/>
    <s v="$2.75"/>
    <x v="5"/>
    <s v="Card"/>
    <n v="5"/>
  </r>
  <r>
    <x v="6"/>
    <x v="4"/>
    <x v="5"/>
    <x v="0"/>
    <x v="1"/>
    <s v="$3.00"/>
    <x v="6"/>
    <s v="Cash"/>
    <n v="4"/>
  </r>
  <r>
    <x v="7"/>
    <x v="5"/>
    <x v="0"/>
    <x v="0"/>
    <x v="0"/>
    <s v="$4.50"/>
    <x v="0"/>
    <s v="Card"/>
    <n v="3"/>
  </r>
  <r>
    <x v="8"/>
    <x v="6"/>
    <x v="6"/>
    <x v="2"/>
    <x v="1"/>
    <s v="$3.50"/>
    <x v="7"/>
    <s v="Cash"/>
    <n v="4"/>
  </r>
  <r>
    <x v="9"/>
    <x v="7"/>
    <x v="2"/>
    <x v="1"/>
    <x v="0"/>
    <s v="$3.25"/>
    <x v="8"/>
    <s v="Cash"/>
    <n v="5"/>
  </r>
  <r>
    <x v="10"/>
    <x v="8"/>
    <x v="1"/>
    <x v="0"/>
    <x v="2"/>
    <s v="$4.00"/>
    <x v="9"/>
    <s v="Card"/>
    <n v="0"/>
  </r>
  <r>
    <x v="11"/>
    <x v="9"/>
    <x v="7"/>
    <x v="1"/>
    <x v="4"/>
    <s v="$1.50"/>
    <x v="10"/>
    <s v="Cash"/>
    <n v="4"/>
  </r>
  <r>
    <x v="12"/>
    <x v="9"/>
    <x v="8"/>
    <x v="2"/>
    <x v="0"/>
    <s v="$3.75"/>
    <x v="10"/>
    <s v="Card"/>
    <n v="3"/>
  </r>
  <r>
    <x v="13"/>
    <x v="10"/>
    <x v="0"/>
    <x v="0"/>
    <x v="1"/>
    <s v="$4.50"/>
    <x v="3"/>
    <s v="Cash"/>
    <n v="5"/>
  </r>
  <r>
    <x v="14"/>
    <x v="11"/>
    <x v="5"/>
    <x v="0"/>
    <x v="0"/>
    <s v="$3.00"/>
    <x v="11"/>
    <s v="Card"/>
    <n v="4"/>
  </r>
  <r>
    <x v="15"/>
    <x v="12"/>
    <x v="4"/>
    <x v="1"/>
    <x v="2"/>
    <s v="$2.75"/>
    <x v="12"/>
    <s v="Cash"/>
    <n v="4"/>
  </r>
  <r>
    <x v="16"/>
    <x v="13"/>
    <x v="3"/>
    <x v="2"/>
    <x v="1"/>
    <s v="$3.50"/>
    <x v="7"/>
    <s v="Card"/>
    <n v="5"/>
  </r>
  <r>
    <x v="17"/>
    <x v="14"/>
    <x v="0"/>
    <x v="0"/>
    <x v="0"/>
    <s v="$4.50"/>
    <x v="0"/>
    <s v="Cash"/>
    <n v="3"/>
  </r>
  <r>
    <x v="18"/>
    <x v="15"/>
    <x v="2"/>
    <x v="1"/>
    <x v="5"/>
    <s v="$3.25"/>
    <x v="13"/>
    <s v="Card"/>
    <n v="4"/>
  </r>
  <r>
    <x v="19"/>
    <x v="16"/>
    <x v="7"/>
    <x v="1"/>
    <x v="0"/>
    <s v="$1.50"/>
    <x v="6"/>
    <s v="Cash"/>
    <n v="5"/>
  </r>
  <r>
    <x v="20"/>
    <x v="17"/>
    <x v="1"/>
    <x v="0"/>
    <x v="1"/>
    <s v="$4.00"/>
    <x v="1"/>
    <s v="Cash"/>
    <n v="4"/>
  </r>
  <r>
    <x v="21"/>
    <x v="18"/>
    <x v="8"/>
    <x v="2"/>
    <x v="2"/>
    <s v="$3.75"/>
    <x v="14"/>
    <s v="Card"/>
    <n v="3"/>
  </r>
  <r>
    <x v="22"/>
    <x v="19"/>
    <x v="5"/>
    <x v="0"/>
    <x v="0"/>
    <s v="$3.00"/>
    <x v="11"/>
    <s v="Cash"/>
    <n v="5"/>
  </r>
  <r>
    <x v="23"/>
    <x v="20"/>
    <x v="0"/>
    <x v="0"/>
    <x v="1"/>
    <s v="$4.50"/>
    <x v="3"/>
    <s v="Card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12" firstHeaderRow="1" firstDataRow="1" firstDataCol="1"/>
  <pivotFields count="9">
    <pivotField showAll="0"/>
    <pivotField numFmtId="14" showAll="0"/>
    <pivotField axis="axisRow" showAll="0" sortType="ascending">
      <items count="10">
        <item h="1" x="6"/>
        <item x="1"/>
        <item x="7"/>
        <item x="2"/>
        <item x="5"/>
        <item x="8"/>
        <item x="3"/>
        <item x="0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>
      <items count="7">
        <item x="5"/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13" firstHeaderRow="1" firstDataRow="1" firstDataCol="1"/>
  <pivotFields count="9">
    <pivotField showAll="0"/>
    <pivotField numFmtId="14" showAll="0"/>
    <pivotField axis="axisRow" showAll="0">
      <items count="10">
        <item x="6"/>
        <item x="1"/>
        <item x="7"/>
        <item x="2"/>
        <item x="5"/>
        <item x="8"/>
        <item x="3"/>
        <item x="0"/>
        <item x="4"/>
        <item t="default"/>
      </items>
    </pivotField>
    <pivotField showAll="0"/>
    <pivotField showAll="0"/>
    <pivotField showAll="0"/>
    <pivotField dataField="1" showAll="0">
      <items count="16">
        <item x="13"/>
        <item x="5"/>
        <item x="14"/>
        <item x="9"/>
        <item x="6"/>
        <item x="7"/>
        <item x="1"/>
        <item x="3"/>
        <item x="11"/>
        <item x="8"/>
        <item x="4"/>
        <item x="10"/>
        <item x="12"/>
        <item x="0"/>
        <item x="2"/>
        <item t="default"/>
      </items>
    </pivotField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otal Sales" fld="6" subtotal="count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B4:K29" totalsRowCount="1" headerRowDxfId="22" dataDxfId="21" tableBorderDxfId="20">
  <autoFilter ref="B4:K28"/>
  <tableColumns count="10">
    <tableColumn id="2" name="Order ID" dataDxfId="19" totalsRowDxfId="18"/>
    <tableColumn id="3" name="Date" dataDxfId="17" totalsRowDxfId="16"/>
    <tableColumn id="4" name="Product" dataDxfId="15" totalsRowDxfId="14"/>
    <tableColumn id="5" name="Category" dataDxfId="13" totalsRowDxfId="12"/>
    <tableColumn id="6" name="Quantity" dataDxfId="11" totalsRowDxfId="10"/>
    <tableColumn id="7" name="Price unit2" dataDxfId="9" totalsRowDxfId="8"/>
    <tableColumn id="8" name="Total sales" totalsRowFunction="custom" dataDxfId="7" totalsRowDxfId="6">
      <calculatedColumnFormula>G5*F5</calculatedColumnFormula>
      <totalsRowFormula>SUM(H5:H28)</totalsRowFormula>
    </tableColumn>
    <tableColumn id="9" name="Payment Method" dataDxfId="5" totalsRowDxfId="4"/>
    <tableColumn id="10" name="Customer Rating" dataDxfId="3" totalsRowDxfId="2"/>
    <tableColumn id="12" name="Outliers" dataDxfId="1" totalsRowDxfId="0">
      <calculatedColumnFormula>IF(E2&gt;100,"Outlier","Normal")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A3" sqref="A3"/>
    </sheetView>
  </sheetViews>
  <sheetFormatPr defaultRowHeight="15" x14ac:dyDescent="0.25"/>
  <cols>
    <col min="1" max="1" width="13.140625" customWidth="1"/>
    <col min="2" max="2" width="15.42578125" customWidth="1"/>
    <col min="3" max="7" width="2" customWidth="1"/>
    <col min="8" max="8" width="11.28515625" bestFit="1" customWidth="1"/>
  </cols>
  <sheetData>
    <row r="3" spans="1:2" x14ac:dyDescent="0.25">
      <c r="A3" s="17" t="s">
        <v>23</v>
      </c>
      <c r="B3" t="s">
        <v>26</v>
      </c>
    </row>
    <row r="4" spans="1:2" x14ac:dyDescent="0.25">
      <c r="A4" s="18" t="s">
        <v>11</v>
      </c>
      <c r="B4" s="16">
        <v>5</v>
      </c>
    </row>
    <row r="5" spans="1:2" x14ac:dyDescent="0.25">
      <c r="A5" s="18" t="s">
        <v>20</v>
      </c>
      <c r="B5" s="16">
        <v>7</v>
      </c>
    </row>
    <row r="6" spans="1:2" x14ac:dyDescent="0.25">
      <c r="A6" s="18" t="s">
        <v>13</v>
      </c>
      <c r="B6" s="16">
        <v>5</v>
      </c>
    </row>
    <row r="7" spans="1:2" x14ac:dyDescent="0.25">
      <c r="A7" s="18" t="s">
        <v>19</v>
      </c>
      <c r="B7" s="16">
        <v>5</v>
      </c>
    </row>
    <row r="8" spans="1:2" x14ac:dyDescent="0.25">
      <c r="A8" s="18" t="s">
        <v>21</v>
      </c>
      <c r="B8" s="16">
        <v>5</v>
      </c>
    </row>
    <row r="9" spans="1:2" x14ac:dyDescent="0.25">
      <c r="A9" s="18" t="s">
        <v>15</v>
      </c>
      <c r="B9" s="16">
        <v>3</v>
      </c>
    </row>
    <row r="10" spans="1:2" x14ac:dyDescent="0.25">
      <c r="A10" s="18" t="s">
        <v>8</v>
      </c>
      <c r="B10" s="16">
        <v>9</v>
      </c>
    </row>
    <row r="11" spans="1:2" x14ac:dyDescent="0.25">
      <c r="A11" s="18" t="s">
        <v>17</v>
      </c>
      <c r="B11" s="16">
        <v>7</v>
      </c>
    </row>
    <row r="12" spans="1:2" x14ac:dyDescent="0.25">
      <c r="A12" s="18" t="s">
        <v>24</v>
      </c>
      <c r="B12" s="16">
        <v>46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M15" sqref="M15"/>
    </sheetView>
  </sheetViews>
  <sheetFormatPr defaultRowHeight="15" x14ac:dyDescent="0.25"/>
  <cols>
    <col min="1" max="1" width="13.140625" customWidth="1"/>
    <col min="2" max="2" width="18.7109375" customWidth="1"/>
  </cols>
  <sheetData>
    <row r="3" spans="1:2" x14ac:dyDescent="0.25">
      <c r="A3" s="17" t="s">
        <v>23</v>
      </c>
      <c r="B3" t="s">
        <v>25</v>
      </c>
    </row>
    <row r="4" spans="1:2" x14ac:dyDescent="0.25">
      <c r="A4" s="18" t="s">
        <v>22</v>
      </c>
      <c r="B4" s="16">
        <v>1</v>
      </c>
    </row>
    <row r="5" spans="1:2" x14ac:dyDescent="0.25">
      <c r="A5" s="18" t="s">
        <v>11</v>
      </c>
      <c r="B5" s="16">
        <v>3</v>
      </c>
    </row>
    <row r="6" spans="1:2" x14ac:dyDescent="0.25">
      <c r="A6" s="18" t="s">
        <v>20</v>
      </c>
      <c r="B6" s="16">
        <v>2</v>
      </c>
    </row>
    <row r="7" spans="1:2" x14ac:dyDescent="0.25">
      <c r="A7" s="18" t="s">
        <v>13</v>
      </c>
      <c r="B7" s="16">
        <v>3</v>
      </c>
    </row>
    <row r="8" spans="1:2" x14ac:dyDescent="0.25">
      <c r="A8" s="18" t="s">
        <v>19</v>
      </c>
      <c r="B8" s="16">
        <v>3</v>
      </c>
    </row>
    <row r="9" spans="1:2" x14ac:dyDescent="0.25">
      <c r="A9" s="18" t="s">
        <v>21</v>
      </c>
      <c r="B9" s="16">
        <v>2</v>
      </c>
    </row>
    <row r="10" spans="1:2" x14ac:dyDescent="0.25">
      <c r="A10" s="18" t="s">
        <v>15</v>
      </c>
      <c r="B10" s="16">
        <v>2</v>
      </c>
    </row>
    <row r="11" spans="1:2" x14ac:dyDescent="0.25">
      <c r="A11" s="18" t="s">
        <v>8</v>
      </c>
      <c r="B11" s="16">
        <v>6</v>
      </c>
    </row>
    <row r="12" spans="1:2" x14ac:dyDescent="0.25">
      <c r="A12" s="18" t="s">
        <v>17</v>
      </c>
      <c r="B12" s="16">
        <v>2</v>
      </c>
    </row>
    <row r="13" spans="1:2" x14ac:dyDescent="0.25">
      <c r="A13" s="18" t="s">
        <v>24</v>
      </c>
      <c r="B13" s="16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3"/>
  <sheetViews>
    <sheetView zoomScale="93" zoomScaleNormal="100" workbookViewId="0">
      <selection activeCell="G30" sqref="G30"/>
    </sheetView>
  </sheetViews>
  <sheetFormatPr defaultRowHeight="15" x14ac:dyDescent="0.25"/>
  <cols>
    <col min="2" max="2" width="12.140625" customWidth="1"/>
    <col min="3" max="4" width="13.5703125" customWidth="1"/>
    <col min="5" max="5" width="13.140625" customWidth="1"/>
    <col min="6" max="6" width="12.28515625" customWidth="1"/>
    <col min="7" max="7" width="13.5703125" style="20" customWidth="1"/>
    <col min="8" max="8" width="15.140625" style="28" customWidth="1"/>
    <col min="9" max="9" width="21.42578125" customWidth="1"/>
    <col min="10" max="10" width="21.5703125" customWidth="1"/>
    <col min="11" max="11" width="14" customWidth="1"/>
  </cols>
  <sheetData>
    <row r="2" spans="2:24" ht="18.75" thickBot="1" x14ac:dyDescent="0.3">
      <c r="B2" s="14" t="s">
        <v>0</v>
      </c>
      <c r="C2" s="14"/>
      <c r="D2" s="14"/>
      <c r="E2" s="14"/>
      <c r="F2" s="14"/>
      <c r="H2" s="24"/>
      <c r="I2" s="14"/>
      <c r="J2" s="1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4" ht="15.75" thickBot="1" x14ac:dyDescent="0.3">
      <c r="B3" s="13"/>
      <c r="C3" s="13"/>
      <c r="D3" s="13"/>
      <c r="E3" s="13"/>
      <c r="F3" s="13"/>
      <c r="H3" s="25"/>
      <c r="I3" s="13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ht="16.5" thickBo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1" t="s">
        <v>28</v>
      </c>
      <c r="H4" s="26" t="s">
        <v>29</v>
      </c>
      <c r="I4" s="3" t="s">
        <v>6</v>
      </c>
      <c r="J4" s="10" t="s">
        <v>7</v>
      </c>
      <c r="K4" s="19" t="s">
        <v>30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ht="17.25" thickTop="1" thickBot="1" x14ac:dyDescent="0.3">
      <c r="B5" s="4">
        <v>1001</v>
      </c>
      <c r="C5" s="5" t="s">
        <v>27</v>
      </c>
      <c r="D5" s="6" t="s">
        <v>8</v>
      </c>
      <c r="E5" s="6" t="s">
        <v>9</v>
      </c>
      <c r="F5" s="4">
        <v>2</v>
      </c>
      <c r="G5" s="22">
        <v>4.5</v>
      </c>
      <c r="H5" s="27">
        <f>G5*F5</f>
        <v>9</v>
      </c>
      <c r="I5" s="6" t="s">
        <v>10</v>
      </c>
      <c r="J5" s="11">
        <v>4</v>
      </c>
      <c r="K5" s="4" t="str">
        <f t="shared" ref="K5:K28" si="0">IF(E2&gt;100,"Outlier","Normal")</f>
        <v>Normal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2:24" ht="27" customHeight="1" thickBot="1" x14ac:dyDescent="0.3">
      <c r="B6" s="7">
        <v>1002</v>
      </c>
      <c r="C6" s="8">
        <v>45662</v>
      </c>
      <c r="D6" s="9" t="s">
        <v>11</v>
      </c>
      <c r="E6" s="9" t="s">
        <v>9</v>
      </c>
      <c r="F6" s="7">
        <v>1</v>
      </c>
      <c r="G6" s="22">
        <v>4.5</v>
      </c>
      <c r="H6" s="27">
        <f t="shared" ref="H6:H28" si="1">G6*F6</f>
        <v>4.5</v>
      </c>
      <c r="I6" s="9" t="s">
        <v>12</v>
      </c>
      <c r="J6" s="12">
        <v>5</v>
      </c>
      <c r="K6" s="4" t="str">
        <f t="shared" si="0"/>
        <v>Normal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2:24" ht="27" customHeight="1" thickBot="1" x14ac:dyDescent="0.3">
      <c r="B7" s="4">
        <v>1003</v>
      </c>
      <c r="C7" s="5">
        <v>45664</v>
      </c>
      <c r="D7" s="6" t="s">
        <v>13</v>
      </c>
      <c r="E7" s="6" t="s">
        <v>14</v>
      </c>
      <c r="F7" s="4">
        <v>3</v>
      </c>
      <c r="G7" s="23">
        <v>4</v>
      </c>
      <c r="H7" s="27">
        <f t="shared" si="1"/>
        <v>12</v>
      </c>
      <c r="I7" s="6" t="s">
        <v>10</v>
      </c>
      <c r="J7" s="11">
        <v>3</v>
      </c>
      <c r="K7" s="4" t="str">
        <f t="shared" si="0"/>
        <v>Outlier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ht="27" customHeight="1" thickBot="1" x14ac:dyDescent="0.3">
      <c r="B8" s="7">
        <v>1004</v>
      </c>
      <c r="C8" s="8">
        <v>45665</v>
      </c>
      <c r="D8" s="9" t="s">
        <v>8</v>
      </c>
      <c r="E8" s="9" t="s">
        <v>9</v>
      </c>
      <c r="F8" s="7">
        <v>1</v>
      </c>
      <c r="G8" s="22">
        <v>3.25</v>
      </c>
      <c r="H8" s="27">
        <f t="shared" si="1"/>
        <v>3.25</v>
      </c>
      <c r="I8" s="9" t="s">
        <v>12</v>
      </c>
      <c r="J8" s="12">
        <v>4</v>
      </c>
      <c r="K8" s="4" t="str">
        <f t="shared" si="0"/>
        <v>Outlier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ht="27" customHeight="1" thickBot="1" x14ac:dyDescent="0.3">
      <c r="B9" s="4">
        <v>1005</v>
      </c>
      <c r="C9" s="5">
        <v>45667</v>
      </c>
      <c r="D9" s="6" t="s">
        <v>15</v>
      </c>
      <c r="E9" s="6" t="s">
        <v>16</v>
      </c>
      <c r="F9" s="4">
        <v>2</v>
      </c>
      <c r="G9" s="23">
        <v>4.5</v>
      </c>
      <c r="H9" s="27">
        <f t="shared" si="1"/>
        <v>9</v>
      </c>
      <c r="I9" s="6" t="s">
        <v>10</v>
      </c>
      <c r="J9" s="11">
        <v>0</v>
      </c>
      <c r="K9" s="4" t="str">
        <f t="shared" si="0"/>
        <v>Outlier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2:24" ht="16.5" thickBot="1" x14ac:dyDescent="0.3">
      <c r="B10" s="7">
        <v>1006</v>
      </c>
      <c r="C10" s="8">
        <v>45667</v>
      </c>
      <c r="D10" s="9" t="s">
        <v>17</v>
      </c>
      <c r="E10" s="9" t="s">
        <v>14</v>
      </c>
      <c r="F10" s="7">
        <v>4</v>
      </c>
      <c r="G10" s="22">
        <v>3.5</v>
      </c>
      <c r="H10" s="27">
        <f t="shared" si="1"/>
        <v>14</v>
      </c>
      <c r="I10" s="9" t="s">
        <v>18</v>
      </c>
      <c r="J10" s="12">
        <v>5</v>
      </c>
      <c r="K10" s="4" t="str">
        <f t="shared" si="0"/>
        <v>Outlier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2:24" ht="16.5" thickBot="1" x14ac:dyDescent="0.3">
      <c r="B11" s="4">
        <v>1007</v>
      </c>
      <c r="C11" s="5">
        <v>45669</v>
      </c>
      <c r="D11" s="6" t="s">
        <v>19</v>
      </c>
      <c r="E11" s="6" t="s">
        <v>9</v>
      </c>
      <c r="F11" s="4">
        <v>1</v>
      </c>
      <c r="G11" s="23">
        <v>2.75</v>
      </c>
      <c r="H11" s="27">
        <f t="shared" si="1"/>
        <v>2.75</v>
      </c>
      <c r="I11" s="6" t="s">
        <v>10</v>
      </c>
      <c r="J11" s="11">
        <v>4</v>
      </c>
      <c r="K11" s="4" t="str">
        <f t="shared" si="0"/>
        <v>Outlier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2:24" ht="16.5" thickBot="1" x14ac:dyDescent="0.3">
      <c r="B12" s="7">
        <v>1008</v>
      </c>
      <c r="C12" s="8">
        <v>45671</v>
      </c>
      <c r="D12" s="9" t="s">
        <v>8</v>
      </c>
      <c r="E12" s="9" t="s">
        <v>9</v>
      </c>
      <c r="F12" s="7">
        <v>2</v>
      </c>
      <c r="G12" s="22">
        <v>3</v>
      </c>
      <c r="H12" s="27">
        <f t="shared" si="1"/>
        <v>6</v>
      </c>
      <c r="I12" s="9" t="s">
        <v>12</v>
      </c>
      <c r="J12" s="12">
        <v>3</v>
      </c>
      <c r="K12" s="4" t="str">
        <f t="shared" si="0"/>
        <v>Outlier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2:24" ht="16.5" thickBot="1" x14ac:dyDescent="0.3">
      <c r="B13" s="4">
        <v>1009</v>
      </c>
      <c r="C13" s="5">
        <v>45672</v>
      </c>
      <c r="D13" s="9" t="s">
        <v>8</v>
      </c>
      <c r="E13" s="6" t="s">
        <v>16</v>
      </c>
      <c r="F13" s="4">
        <v>1</v>
      </c>
      <c r="G13" s="23">
        <v>4.5</v>
      </c>
      <c r="H13" s="27">
        <f t="shared" si="1"/>
        <v>4.5</v>
      </c>
      <c r="I13" s="6" t="s">
        <v>10</v>
      </c>
      <c r="J13" s="11">
        <v>4</v>
      </c>
      <c r="K13" s="4" t="str">
        <f t="shared" si="0"/>
        <v>Outlier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24" ht="16.5" thickBot="1" x14ac:dyDescent="0.3">
      <c r="B14" s="7">
        <v>1010</v>
      </c>
      <c r="C14" s="8">
        <v>45674</v>
      </c>
      <c r="D14" s="9" t="s">
        <v>13</v>
      </c>
      <c r="E14" s="9" t="s">
        <v>14</v>
      </c>
      <c r="F14" s="7">
        <v>2</v>
      </c>
      <c r="G14" s="22">
        <v>3.5</v>
      </c>
      <c r="H14" s="27">
        <f t="shared" si="1"/>
        <v>7</v>
      </c>
      <c r="I14" s="9" t="s">
        <v>10</v>
      </c>
      <c r="J14" s="12">
        <v>5</v>
      </c>
      <c r="K14" s="4" t="str">
        <f t="shared" si="0"/>
        <v>Outlier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2:24" ht="16.5" thickBot="1" x14ac:dyDescent="0.3">
      <c r="B15" s="4">
        <v>1011</v>
      </c>
      <c r="C15" s="5">
        <v>45675</v>
      </c>
      <c r="D15" s="6" t="s">
        <v>11</v>
      </c>
      <c r="E15" s="6" t="s">
        <v>9</v>
      </c>
      <c r="F15" s="4">
        <v>3</v>
      </c>
      <c r="G15" s="23">
        <v>3.25</v>
      </c>
      <c r="H15" s="27">
        <f t="shared" si="1"/>
        <v>9.75</v>
      </c>
      <c r="I15" s="6" t="s">
        <v>12</v>
      </c>
      <c r="J15" s="11">
        <v>0</v>
      </c>
      <c r="K15" s="4" t="str">
        <f t="shared" si="0"/>
        <v>Outlier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ht="16.5" thickBot="1" x14ac:dyDescent="0.3">
      <c r="B16" s="7">
        <v>1012</v>
      </c>
      <c r="C16" s="8">
        <v>45677</v>
      </c>
      <c r="D16" s="9" t="s">
        <v>20</v>
      </c>
      <c r="E16" s="9" t="s">
        <v>14</v>
      </c>
      <c r="F16" s="7">
        <v>5</v>
      </c>
      <c r="G16" s="22">
        <v>4</v>
      </c>
      <c r="H16" s="27">
        <f t="shared" si="1"/>
        <v>20</v>
      </c>
      <c r="I16" s="9" t="s">
        <v>10</v>
      </c>
      <c r="J16" s="12">
        <v>4</v>
      </c>
      <c r="K16" s="4" t="str">
        <f t="shared" si="0"/>
        <v>Outlier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.5" thickBot="1" x14ac:dyDescent="0.3">
      <c r="B17" s="4">
        <v>1013</v>
      </c>
      <c r="C17" s="5">
        <v>45677</v>
      </c>
      <c r="D17" s="6" t="s">
        <v>21</v>
      </c>
      <c r="E17" s="6" t="s">
        <v>16</v>
      </c>
      <c r="F17" s="4">
        <v>2</v>
      </c>
      <c r="G17" s="23">
        <v>1.5</v>
      </c>
      <c r="H17" s="27">
        <f t="shared" si="1"/>
        <v>3</v>
      </c>
      <c r="I17" s="6" t="s">
        <v>12</v>
      </c>
      <c r="J17" s="11">
        <v>3</v>
      </c>
      <c r="K17" s="4" t="str">
        <f t="shared" si="0"/>
        <v>Outlier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.5" thickBot="1" x14ac:dyDescent="0.3">
      <c r="B18" s="7">
        <v>1014</v>
      </c>
      <c r="C18" s="8">
        <v>45679</v>
      </c>
      <c r="D18" s="9" t="s">
        <v>8</v>
      </c>
      <c r="E18" s="9" t="s">
        <v>9</v>
      </c>
      <c r="F18" s="7">
        <v>1</v>
      </c>
      <c r="G18" s="22">
        <v>3.75</v>
      </c>
      <c r="H18" s="27">
        <f t="shared" si="1"/>
        <v>3.75</v>
      </c>
      <c r="I18" s="9" t="s">
        <v>10</v>
      </c>
      <c r="J18" s="12">
        <v>5</v>
      </c>
      <c r="K18" s="4" t="str">
        <f t="shared" si="0"/>
        <v>Outlier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5" thickBot="1" x14ac:dyDescent="0.3">
      <c r="B19" s="7">
        <v>1015</v>
      </c>
      <c r="C19" s="8">
        <v>45682</v>
      </c>
      <c r="D19" s="9" t="s">
        <v>19</v>
      </c>
      <c r="E19" s="9" t="s">
        <v>9</v>
      </c>
      <c r="F19" s="7">
        <v>2</v>
      </c>
      <c r="G19" s="23">
        <v>4.5</v>
      </c>
      <c r="H19" s="27">
        <f t="shared" si="1"/>
        <v>9</v>
      </c>
      <c r="I19" s="9" t="s">
        <v>18</v>
      </c>
      <c r="J19" s="12">
        <v>4</v>
      </c>
      <c r="K19" s="4" t="str">
        <f t="shared" si="0"/>
        <v>Outlier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5" thickBot="1" x14ac:dyDescent="0.3">
      <c r="B20" s="4">
        <v>1016</v>
      </c>
      <c r="C20" s="5">
        <v>45683</v>
      </c>
      <c r="D20" s="6" t="s">
        <v>17</v>
      </c>
      <c r="E20" s="6" t="s">
        <v>14</v>
      </c>
      <c r="F20" s="4">
        <v>3</v>
      </c>
      <c r="G20" s="23">
        <v>3</v>
      </c>
      <c r="H20" s="27">
        <f t="shared" si="1"/>
        <v>9</v>
      </c>
      <c r="I20" s="6" t="s">
        <v>10</v>
      </c>
      <c r="J20" s="11">
        <v>4</v>
      </c>
      <c r="K20" s="4" t="str">
        <f t="shared" si="0"/>
        <v>Outlier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.5" thickBot="1" x14ac:dyDescent="0.3">
      <c r="B21" s="7">
        <v>1017</v>
      </c>
      <c r="C21" s="8">
        <v>45684</v>
      </c>
      <c r="D21" s="9" t="s">
        <v>15</v>
      </c>
      <c r="E21" s="9" t="s">
        <v>16</v>
      </c>
      <c r="F21" s="7">
        <v>1</v>
      </c>
      <c r="G21" s="22">
        <v>2.75</v>
      </c>
      <c r="H21" s="27">
        <f t="shared" si="1"/>
        <v>2.75</v>
      </c>
      <c r="I21" s="9" t="s">
        <v>12</v>
      </c>
      <c r="J21" s="12">
        <v>5</v>
      </c>
      <c r="K21" s="4" t="str">
        <f t="shared" si="0"/>
        <v>Outlier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.5" thickBot="1" x14ac:dyDescent="0.3">
      <c r="B22" s="4">
        <v>1018</v>
      </c>
      <c r="C22" s="5">
        <v>45685</v>
      </c>
      <c r="D22" s="6" t="s">
        <v>8</v>
      </c>
      <c r="E22" s="6" t="s">
        <v>9</v>
      </c>
      <c r="F22" s="4">
        <v>2</v>
      </c>
      <c r="G22" s="23">
        <v>3.5</v>
      </c>
      <c r="H22" s="27">
        <f t="shared" si="1"/>
        <v>7</v>
      </c>
      <c r="I22" s="6" t="s">
        <v>10</v>
      </c>
      <c r="J22" s="11">
        <v>3</v>
      </c>
      <c r="K22" s="4" t="str">
        <f t="shared" si="0"/>
        <v>Outlier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.5" thickBot="1" x14ac:dyDescent="0.3">
      <c r="B23" s="7">
        <v>1019</v>
      </c>
      <c r="C23" s="8">
        <v>45686</v>
      </c>
      <c r="D23" s="9" t="s">
        <v>13</v>
      </c>
      <c r="E23" s="9" t="s">
        <v>14</v>
      </c>
      <c r="F23" s="7">
        <v>0</v>
      </c>
      <c r="G23" s="22">
        <v>4.5</v>
      </c>
      <c r="H23" s="27">
        <f t="shared" si="1"/>
        <v>0</v>
      </c>
      <c r="I23" s="9" t="s">
        <v>12</v>
      </c>
      <c r="J23" s="12">
        <v>4</v>
      </c>
      <c r="K23" s="4" t="str">
        <f t="shared" si="0"/>
        <v>Outlier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.5" thickBot="1" x14ac:dyDescent="0.3">
      <c r="B24" s="4">
        <v>1020</v>
      </c>
      <c r="C24" s="5">
        <v>45687</v>
      </c>
      <c r="D24" s="6" t="s">
        <v>20</v>
      </c>
      <c r="E24" s="6" t="s">
        <v>14</v>
      </c>
      <c r="F24" s="4">
        <v>2</v>
      </c>
      <c r="G24" s="23">
        <v>3.25</v>
      </c>
      <c r="H24" s="27">
        <f t="shared" si="1"/>
        <v>6.5</v>
      </c>
      <c r="I24" s="6" t="s">
        <v>10</v>
      </c>
      <c r="J24" s="11">
        <v>5</v>
      </c>
      <c r="K24" s="4" t="str">
        <f t="shared" si="0"/>
        <v>Outlier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.5" thickBot="1" x14ac:dyDescent="0.3">
      <c r="B25" s="7">
        <v>1021</v>
      </c>
      <c r="C25" s="8">
        <v>45689</v>
      </c>
      <c r="D25" s="9" t="s">
        <v>11</v>
      </c>
      <c r="E25" s="9" t="s">
        <v>9</v>
      </c>
      <c r="F25" s="7">
        <v>1</v>
      </c>
      <c r="G25" s="22">
        <v>1.5</v>
      </c>
      <c r="H25" s="27">
        <f t="shared" si="1"/>
        <v>1.5</v>
      </c>
      <c r="I25" s="9" t="s">
        <v>10</v>
      </c>
      <c r="J25" s="12">
        <v>4</v>
      </c>
      <c r="K25" s="4" t="str">
        <f t="shared" si="0"/>
        <v>Outlier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.5" thickBot="1" x14ac:dyDescent="0.3">
      <c r="B26" s="4">
        <v>1022</v>
      </c>
      <c r="C26" s="5">
        <v>45690</v>
      </c>
      <c r="D26" s="6" t="s">
        <v>21</v>
      </c>
      <c r="E26" s="6" t="s">
        <v>16</v>
      </c>
      <c r="F26" s="4">
        <v>3</v>
      </c>
      <c r="G26" s="23">
        <v>4</v>
      </c>
      <c r="H26" s="27">
        <f t="shared" si="1"/>
        <v>12</v>
      </c>
      <c r="I26" s="6" t="s">
        <v>12</v>
      </c>
      <c r="J26" s="11">
        <v>3</v>
      </c>
      <c r="K26" s="4" t="str">
        <f t="shared" si="0"/>
        <v>Outlier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.5" thickBot="1" x14ac:dyDescent="0.3">
      <c r="B27" s="7">
        <v>1023</v>
      </c>
      <c r="C27" s="8">
        <v>45691</v>
      </c>
      <c r="D27" s="9" t="s">
        <v>19</v>
      </c>
      <c r="E27" s="9" t="s">
        <v>9</v>
      </c>
      <c r="F27" s="7">
        <v>2</v>
      </c>
      <c r="G27" s="22">
        <v>3.75</v>
      </c>
      <c r="H27" s="27">
        <f t="shared" si="1"/>
        <v>7.5</v>
      </c>
      <c r="I27" s="9" t="s">
        <v>10</v>
      </c>
      <c r="J27" s="12">
        <v>5</v>
      </c>
      <c r="K27" s="4" t="str">
        <f t="shared" si="0"/>
        <v>Outlier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6.5" thickBot="1" x14ac:dyDescent="0.3">
      <c r="B28" s="4">
        <v>1024</v>
      </c>
      <c r="C28" s="5">
        <v>45693</v>
      </c>
      <c r="D28" s="6" t="s">
        <v>8</v>
      </c>
      <c r="E28" s="6" t="s">
        <v>9</v>
      </c>
      <c r="F28" s="4">
        <v>1</v>
      </c>
      <c r="G28" s="23">
        <v>3</v>
      </c>
      <c r="H28" s="27">
        <f t="shared" si="1"/>
        <v>3</v>
      </c>
      <c r="I28" s="6" t="s">
        <v>12</v>
      </c>
      <c r="J28" s="11">
        <v>4</v>
      </c>
      <c r="K28" s="4" t="str">
        <f t="shared" si="0"/>
        <v>Outlier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x14ac:dyDescent="0.25">
      <c r="B29" s="29"/>
      <c r="C29" s="30"/>
      <c r="D29" s="31"/>
      <c r="E29" s="31"/>
      <c r="F29" s="32"/>
      <c r="G29" s="33"/>
      <c r="H29" s="34">
        <f>SUM(H5:H28)</f>
        <v>166.75</v>
      </c>
      <c r="I29" s="35"/>
      <c r="J29" s="32"/>
      <c r="K29" s="36"/>
    </row>
    <row r="30" spans="1:24" x14ac:dyDescent="0.25">
      <c r="G30" s="37" t="s">
        <v>31</v>
      </c>
      <c r="H30" s="28">
        <f>AVERAGE(H5:H28)</f>
        <v>6.947916666666667</v>
      </c>
      <c r="I30" s="38" t="s">
        <v>38</v>
      </c>
      <c r="J30">
        <f>COUNTIF(I5:I28,"cash")</f>
        <v>13</v>
      </c>
      <c r="L30" s="38" t="s">
        <v>39</v>
      </c>
    </row>
    <row r="31" spans="1:24" x14ac:dyDescent="0.25">
      <c r="A31" s="38" t="s">
        <v>34</v>
      </c>
      <c r="B31" s="38"/>
      <c r="C31">
        <f>COUNTA(B5:B28)</f>
        <v>24</v>
      </c>
      <c r="G31" s="37" t="s">
        <v>32</v>
      </c>
      <c r="H31" s="28">
        <f>MAX(H5:H28)</f>
        <v>20</v>
      </c>
      <c r="I31" s="38" t="s">
        <v>37</v>
      </c>
      <c r="J31">
        <f>COUNTIF(I5:I28,"card")</f>
        <v>11</v>
      </c>
      <c r="L31" t="s">
        <v>40</v>
      </c>
      <c r="M31">
        <f>SUMIF(E5:E28,"Hot drinks",(H5:H28))</f>
        <v>67</v>
      </c>
    </row>
    <row r="32" spans="1:24" x14ac:dyDescent="0.25">
      <c r="G32" s="37" t="s">
        <v>33</v>
      </c>
      <c r="H32" s="28">
        <f>MIN(H5:H28)</f>
        <v>0</v>
      </c>
      <c r="L32" t="s">
        <v>41</v>
      </c>
      <c r="M32">
        <f>SUMIF(E5:E28,"cold drinks",(H5:H28))</f>
        <v>31.25</v>
      </c>
    </row>
    <row r="33" spans="7:13" x14ac:dyDescent="0.25">
      <c r="G33" s="37" t="s">
        <v>35</v>
      </c>
      <c r="H33" s="28" t="s">
        <v>36</v>
      </c>
      <c r="L33" t="s">
        <v>14</v>
      </c>
      <c r="M33">
        <f>SUMIF(E5:E28,"Pastry",(H5:H28))</f>
        <v>68.5</v>
      </c>
    </row>
  </sheetData>
  <conditionalFormatting sqref="H1:H1048576">
    <cfRule type="top10" dxfId="23" priority="1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sqref="A1:L1"/>
    </sheetView>
  </sheetViews>
  <sheetFormatPr defaultRowHeight="15" x14ac:dyDescent="0.25"/>
  <cols>
    <col min="3" max="3" width="27.7109375" customWidth="1"/>
    <col min="12" max="12" width="3" customWidth="1"/>
  </cols>
  <sheetData>
    <row r="1" spans="1:13" ht="30.75" customHeight="1" x14ac:dyDescent="0.45">
      <c r="A1" s="40" t="s">
        <v>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3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3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3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3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</row>
    <row r="10" spans="1:13" ht="9" customHeight="1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</row>
    <row r="11" spans="1:13" ht="19.5" customHeight="1" x14ac:dyDescent="0.35">
      <c r="A11" s="42" t="s">
        <v>42</v>
      </c>
      <c r="B11" s="41"/>
      <c r="C11" s="41"/>
      <c r="D11" s="42" t="s">
        <v>43</v>
      </c>
      <c r="E11" s="42"/>
      <c r="F11" s="42"/>
      <c r="G11" s="42"/>
      <c r="H11" s="42"/>
      <c r="I11" s="42"/>
      <c r="J11" s="42"/>
      <c r="K11" s="42"/>
      <c r="L11" s="39"/>
    </row>
    <row r="12" spans="1:13" ht="0.75" customHeight="1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39"/>
    </row>
    <row r="13" spans="1:13" x14ac:dyDescent="0.25">
      <c r="D13" s="41"/>
      <c r="E13" s="41"/>
      <c r="F13" s="41"/>
      <c r="G13" s="41"/>
      <c r="H13" s="41"/>
      <c r="I13" s="41"/>
      <c r="J13" s="41"/>
      <c r="K13" s="41"/>
      <c r="L13" s="39"/>
    </row>
    <row r="14" spans="1:13" x14ac:dyDescent="0.25">
      <c r="D14" s="41"/>
      <c r="E14" s="41"/>
      <c r="F14" s="41"/>
      <c r="G14" s="41"/>
      <c r="H14" s="41"/>
      <c r="I14" s="41"/>
      <c r="J14" s="41"/>
      <c r="K14" s="41"/>
      <c r="L14" s="39"/>
    </row>
    <row r="15" spans="1:13" x14ac:dyDescent="0.25">
      <c r="D15" s="41"/>
      <c r="E15" s="41"/>
      <c r="F15" s="41"/>
      <c r="G15" s="41"/>
      <c r="H15" s="41"/>
      <c r="I15" s="41"/>
      <c r="J15" s="41"/>
      <c r="K15" s="41"/>
      <c r="L15" s="39"/>
    </row>
    <row r="16" spans="1:13" x14ac:dyDescent="0.25">
      <c r="D16" s="41"/>
      <c r="E16" s="41"/>
      <c r="F16" s="41"/>
      <c r="G16" s="41"/>
      <c r="H16" s="41"/>
      <c r="I16" s="41"/>
      <c r="J16" s="41"/>
      <c r="K16" s="41"/>
      <c r="L16" s="39"/>
    </row>
    <row r="17" spans="4:12" x14ac:dyDescent="0.25">
      <c r="D17" s="41"/>
      <c r="E17" s="41"/>
      <c r="F17" s="41"/>
      <c r="G17" s="41"/>
      <c r="H17" s="41"/>
      <c r="I17" s="41"/>
      <c r="J17" s="41"/>
      <c r="K17" s="41"/>
      <c r="L17" s="39"/>
    </row>
    <row r="18" spans="4:12" x14ac:dyDescent="0.25">
      <c r="D18" s="41"/>
      <c r="E18" s="41"/>
      <c r="F18" s="41"/>
      <c r="G18" s="41"/>
      <c r="H18" s="41"/>
      <c r="I18" s="41"/>
      <c r="J18" s="41"/>
      <c r="K18" s="41"/>
      <c r="L18" s="39"/>
    </row>
    <row r="19" spans="4:12" x14ac:dyDescent="0.25">
      <c r="D19" s="41"/>
      <c r="E19" s="41"/>
      <c r="F19" s="41"/>
      <c r="G19" s="41"/>
      <c r="H19" s="41"/>
      <c r="I19" s="41"/>
      <c r="J19" s="41"/>
      <c r="K19" s="41"/>
      <c r="L19" s="39"/>
    </row>
    <row r="20" spans="4:12" x14ac:dyDescent="0.25">
      <c r="D20" s="41"/>
      <c r="E20" s="41"/>
      <c r="F20" s="41"/>
      <c r="G20" s="41"/>
      <c r="H20" s="41"/>
      <c r="I20" s="41"/>
      <c r="J20" s="41"/>
      <c r="K20" s="41"/>
      <c r="L20" s="39"/>
    </row>
    <row r="21" spans="4:12" x14ac:dyDescent="0.25">
      <c r="D21" s="41"/>
      <c r="E21" s="41"/>
      <c r="F21" s="41"/>
      <c r="G21" s="41"/>
      <c r="H21" s="41"/>
      <c r="I21" s="41"/>
      <c r="J21" s="41"/>
      <c r="K21" s="41"/>
      <c r="L21" s="39"/>
    </row>
    <row r="22" spans="4:12" x14ac:dyDescent="0.25">
      <c r="D22" s="41"/>
      <c r="E22" s="41"/>
      <c r="F22" s="41"/>
      <c r="G22" s="41"/>
      <c r="H22" s="41"/>
      <c r="I22" s="41"/>
      <c r="J22" s="41"/>
      <c r="K22" s="41"/>
      <c r="L22" s="39"/>
    </row>
  </sheetData>
  <mergeCells count="7">
    <mergeCell ref="A1:L1"/>
    <mergeCell ref="A7:L10"/>
    <mergeCell ref="A11:C12"/>
    <mergeCell ref="A2:B6"/>
    <mergeCell ref="C2:M6"/>
    <mergeCell ref="D12:K22"/>
    <mergeCell ref="D11:K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p vs ts</vt:lpstr>
      <vt:lpstr>data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</dc:creator>
  <cp:lastModifiedBy>MANNY</cp:lastModifiedBy>
  <dcterms:created xsi:type="dcterms:W3CDTF">2026-03-12T20:23:55Z</dcterms:created>
  <dcterms:modified xsi:type="dcterms:W3CDTF">2026-08-28T17:27:39Z</dcterms:modified>
</cp:coreProperties>
</file>